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Q6" i="1" l="1"/>
  <c r="P6" i="1"/>
  <c r="R6" i="1" s="1"/>
  <c r="O6" i="1"/>
  <c r="Q5" i="1"/>
  <c r="P5" i="1"/>
  <c r="O5" i="1"/>
  <c r="R5" i="1" s="1"/>
  <c r="Q4" i="1"/>
  <c r="P4" i="1"/>
  <c r="O4" i="1"/>
  <c r="R4" i="1" s="1"/>
  <c r="Q3" i="1"/>
  <c r="P3" i="1"/>
  <c r="O3" i="1"/>
  <c r="R3" i="1" s="1"/>
  <c r="R2" i="1"/>
  <c r="Q2" i="1"/>
  <c r="P2" i="1"/>
  <c r="O2" i="1"/>
  <c r="C5" i="1"/>
  <c r="C4" i="1"/>
  <c r="C3" i="1"/>
  <c r="L2" i="1"/>
  <c r="K2" i="1"/>
  <c r="J2" i="1"/>
  <c r="M2" i="1"/>
  <c r="B3" i="1" s="1"/>
  <c r="K3" i="1" s="1"/>
  <c r="A3" i="1"/>
  <c r="G2" i="1"/>
  <c r="F2" i="1"/>
  <c r="E2" i="1"/>
  <c r="F3" i="1" l="1"/>
  <c r="J3" i="1"/>
  <c r="M3" i="1" s="1"/>
  <c r="B4" i="1" s="1"/>
  <c r="L3" i="1"/>
  <c r="E3" i="1"/>
  <c r="G3" i="1"/>
  <c r="H2" i="1"/>
  <c r="H3" i="1" l="1"/>
  <c r="A4" i="1" s="1"/>
  <c r="K4" i="1" s="1"/>
  <c r="L4" i="1"/>
  <c r="F4" i="1"/>
  <c r="E4" i="1"/>
  <c r="G4" i="1" l="1"/>
  <c r="J4" i="1"/>
  <c r="M4" i="1" s="1"/>
  <c r="B5" i="1" s="1"/>
  <c r="H4" i="1"/>
  <c r="A5" i="1" s="1"/>
  <c r="F5" i="1" l="1"/>
  <c r="G5" i="1"/>
  <c r="E5" i="1"/>
  <c r="K5" i="1"/>
  <c r="L5" i="1"/>
  <c r="J5" i="1"/>
  <c r="H5" i="1" l="1"/>
  <c r="A6" i="1" s="1"/>
  <c r="E6" i="1" s="1"/>
  <c r="M5" i="1"/>
  <c r="B6" i="1" s="1"/>
  <c r="F6" i="1" l="1"/>
  <c r="L6" i="1"/>
  <c r="J6" i="1"/>
  <c r="M6" i="1" s="1"/>
  <c r="K6" i="1"/>
  <c r="G6" i="1"/>
  <c r="H6" i="1" s="1"/>
</calcChain>
</file>

<file path=xl/sharedStrings.xml><?xml version="1.0" encoding="utf-8"?>
<sst xmlns="http://schemas.openxmlformats.org/spreadsheetml/2006/main" count="10" uniqueCount="10">
  <si>
    <t>x</t>
  </si>
  <si>
    <t>y</t>
  </si>
  <si>
    <t>gradX</t>
  </si>
  <si>
    <t>gradY</t>
  </si>
  <si>
    <t>lambda</t>
  </si>
  <si>
    <t>r</t>
  </si>
  <si>
    <t>R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</si>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</sst>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403860</xdr:colOff>
      <xdr:row>10</xdr:row>
      <xdr:rowOff>60960</xdr:rowOff>
    </xdr:from>
    <xdr:to>
      <xdr:col>17</xdr:col>
      <xdr:colOff>571673</xdr:colOff>
      <xdr:row>23</xdr:row>
      <xdr:rowOff>68787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8260" y="1889760"/>
          <a:ext cx="1996613" cy="238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R5" sqref="R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5</v>
      </c>
      <c r="D1" t="s">
        <v>4</v>
      </c>
      <c r="H1" t="s">
        <v>2</v>
      </c>
      <c r="L1" t="s">
        <v>3</v>
      </c>
      <c r="O1" t="s">
        <v>7</v>
      </c>
      <c r="P1" t="s">
        <v>8</v>
      </c>
      <c r="Q1" t="s">
        <v>9</v>
      </c>
      <c r="R1" t="s">
        <v>6</v>
      </c>
    </row>
    <row r="2" spans="1:18" x14ac:dyDescent="0.3">
      <c r="A2" s="1">
        <v>5</v>
      </c>
      <c r="B2" s="1">
        <v>9</v>
      </c>
      <c r="C2" s="1"/>
      <c r="D2">
        <v>2</v>
      </c>
      <c r="E2" s="1">
        <f>-(4-$A2)/((4-$A2)^2+(2-$B2)^2)^0.5</f>
        <v>0.1414213562373095</v>
      </c>
      <c r="F2" s="1">
        <f>-(1-$A2)/((1-$A2)^2+(7-$B2)^2)^0.5</f>
        <v>0.89442719099991586</v>
      </c>
      <c r="G2" s="1">
        <f>-(8-$A2)/((8-$A2)^2+(4-$B2)^2)^0.5</f>
        <v>-0.51449575542752646</v>
      </c>
      <c r="H2" s="1">
        <f>SUM(E2:G2)</f>
        <v>0.52135279180969896</v>
      </c>
      <c r="J2" s="1">
        <f>-(2-$B2)/((4-$A2)^2+(2-$B2)^2)^0.5</f>
        <v>0.98994949366116647</v>
      </c>
      <c r="K2" s="1">
        <f>-(7-$B2)/((1-$A2)^2+(7-$B2)^2)^0.5</f>
        <v>0.44721359549995793</v>
      </c>
      <c r="L2" s="1">
        <f>-(4-$B2)/((8-$A2)^2+(4-$B2)^2)^0.5</f>
        <v>0.8574929257125441</v>
      </c>
      <c r="M2" s="1">
        <f>SUM(J2:L2)</f>
        <v>2.2946560148736683</v>
      </c>
      <c r="O2">
        <f>((4-$A2)^2+(2-$B2)^2)^0.5</f>
        <v>7.0710678118654755</v>
      </c>
      <c r="P2">
        <f>((1-$A2)^2+(7-$B2)^2)^0.5</f>
        <v>4.4721359549995796</v>
      </c>
      <c r="Q2">
        <f>((8-$A2)^2+(4-$B2)^2)^0.5</f>
        <v>5.8309518948453007</v>
      </c>
      <c r="R2" s="1">
        <f>SUM(O2:Q2)</f>
        <v>17.374155661710354</v>
      </c>
    </row>
    <row r="3" spans="1:18" x14ac:dyDescent="0.3">
      <c r="A3" s="1">
        <f>A2-$D$2*$H2</f>
        <v>3.9572944163806021</v>
      </c>
      <c r="B3" s="1">
        <f>B2-$D$2*$M2</f>
        <v>4.4106879702526633</v>
      </c>
      <c r="C3" s="1">
        <f>((A2-A3)^2+(B2-B3)^2)^0.5</f>
        <v>4.7062745181825809</v>
      </c>
      <c r="E3" s="1">
        <f t="shared" ref="E3:E21" si="0">-(4-$A3)/((4-$A3)^2+(2-$B3)^2)^0.5</f>
        <v>-1.7712323073968587E-2</v>
      </c>
      <c r="F3" s="1">
        <f t="shared" ref="F3:F21" si="1">-(1-$A3)/((1-$A3)^2+(7-$B3)^2)^0.5</f>
        <v>0.75236491639552028</v>
      </c>
      <c r="G3" s="1">
        <f t="shared" ref="G3:G21" si="2">-(8-$A3)/((8-$A3)^2+(4-$B3)^2)^0.5</f>
        <v>-0.99487959756134159</v>
      </c>
      <c r="H3" s="1">
        <f t="shared" ref="H3:H21" si="3">SUM(E3:G3)</f>
        <v>-0.26022700423978995</v>
      </c>
      <c r="J3" s="1">
        <f t="shared" ref="J3:J21" si="4">-(2-$B3)/((4-$A3)^2+(2-$B3)^2)^0.5</f>
        <v>0.99984312450070056</v>
      </c>
      <c r="K3" s="1">
        <f t="shared" ref="K3:K21" si="5">-(7-$B3)/((1-$A3)^2+(7-$B3)^2)^0.5</f>
        <v>-0.65874656171942314</v>
      </c>
      <c r="L3" s="1">
        <f t="shared" ref="L3:L21" si="6">-(4-$B3)/((8-$A3)^2+(4-$B3)^2)^0.5</f>
        <v>0.10106723680888269</v>
      </c>
      <c r="M3" s="1">
        <f t="shared" ref="M3:M21" si="7">SUM(J3:L3)</f>
        <v>0.44216379959016011</v>
      </c>
      <c r="O3">
        <f t="shared" ref="O3:O6" si="8">((4-$A3)^2+(2-$B3)^2)^0.5</f>
        <v>2.4110662074678038</v>
      </c>
      <c r="P3">
        <f t="shared" ref="P3:P6" si="9">((1-$A3)^2+(7-$B3)^2)^0.5</f>
        <v>3.9306649631519295</v>
      </c>
      <c r="Q3">
        <f t="shared" ref="Q3:Q6" si="10">((8-$A3)^2+(4-$B3)^2)^0.5</f>
        <v>4.0635124024343412</v>
      </c>
      <c r="R3" s="1">
        <f t="shared" ref="R3:R5" si="11">SUM(O3:Q3)</f>
        <v>10.405243573054074</v>
      </c>
    </row>
    <row r="4" spans="1:18" x14ac:dyDescent="0.3">
      <c r="A4" s="1">
        <f t="shared" ref="A4:A21" si="12">A3-$D$2*$H3</f>
        <v>4.4777484248601818</v>
      </c>
      <c r="B4" s="1">
        <f t="shared" ref="B4:B21" si="13">B3-$D$2*$M3</f>
        <v>3.526360371072343</v>
      </c>
      <c r="C4" s="1">
        <f t="shared" ref="C4:C5" si="14">((A3-A4)^2+(B3-B4)^2)^0.5</f>
        <v>1.0261128971095197</v>
      </c>
      <c r="E4" s="1">
        <f t="shared" si="0"/>
        <v>0.29870833085170601</v>
      </c>
      <c r="F4" s="1">
        <f t="shared" si="1"/>
        <v>0.70752461116433896</v>
      </c>
      <c r="G4" s="1">
        <f t="shared" si="2"/>
        <v>-0.99107961130117272</v>
      </c>
      <c r="H4" s="1">
        <f t="shared" si="3"/>
        <v>1.5153330714872237E-2</v>
      </c>
      <c r="J4" s="1">
        <f t="shared" si="4"/>
        <v>0.95434445200870099</v>
      </c>
      <c r="K4" s="1">
        <f t="shared" si="5"/>
        <v>-0.70668870416665841</v>
      </c>
      <c r="L4" s="1">
        <f t="shared" si="6"/>
        <v>-0.13327116741109563</v>
      </c>
      <c r="M4" s="1">
        <f t="shared" si="7"/>
        <v>0.11438458043094696</v>
      </c>
      <c r="O4">
        <f t="shared" si="8"/>
        <v>1.5993809864558493</v>
      </c>
      <c r="P4">
        <f t="shared" si="9"/>
        <v>4.9153744901354308</v>
      </c>
      <c r="Q4">
        <f t="shared" si="10"/>
        <v>3.5539542282738616</v>
      </c>
      <c r="R4" s="1">
        <f t="shared" si="11"/>
        <v>10.068709704865142</v>
      </c>
    </row>
    <row r="5" spans="1:18" x14ac:dyDescent="0.3">
      <c r="A5" s="1">
        <f t="shared" si="12"/>
        <v>4.4474417634304375</v>
      </c>
      <c r="B5" s="1">
        <f t="shared" si="13"/>
        <v>3.2975912102104492</v>
      </c>
      <c r="C5" s="1">
        <f t="shared" si="14"/>
        <v>0.2307678978724558</v>
      </c>
      <c r="E5" s="1">
        <f t="shared" si="0"/>
        <v>0.3259884164065549</v>
      </c>
      <c r="F5" s="1">
        <f t="shared" si="1"/>
        <v>0.68145786472259973</v>
      </c>
      <c r="G5" s="1">
        <f t="shared" si="2"/>
        <v>-0.98100861060035816</v>
      </c>
      <c r="H5" s="1">
        <f t="shared" si="3"/>
        <v>2.6437670528796531E-2</v>
      </c>
      <c r="J5" s="1">
        <f t="shared" si="4"/>
        <v>0.94537376331731715</v>
      </c>
      <c r="K5" s="1">
        <f t="shared" si="5"/>
        <v>-0.73185734853707318</v>
      </c>
      <c r="L5" s="1">
        <f t="shared" si="6"/>
        <v>-0.1939641872304135</v>
      </c>
      <c r="M5" s="1">
        <f t="shared" si="7"/>
        <v>1.9552227549830464E-2</v>
      </c>
      <c r="O5">
        <f t="shared" si="8"/>
        <v>1.3725695175389687</v>
      </c>
      <c r="P5">
        <f t="shared" si="9"/>
        <v>5.0589213829585544</v>
      </c>
      <c r="Q5">
        <f t="shared" si="10"/>
        <v>3.6213323697489934</v>
      </c>
      <c r="R5" s="1">
        <f t="shared" si="11"/>
        <v>10.052823270246517</v>
      </c>
    </row>
    <row r="6" spans="1:18" x14ac:dyDescent="0.3">
      <c r="A6" s="1">
        <f t="shared" si="12"/>
        <v>4.3945664223728444</v>
      </c>
      <c r="B6" s="1">
        <f t="shared" si="13"/>
        <v>3.2584867551107881</v>
      </c>
      <c r="C6" s="1"/>
      <c r="E6" s="1">
        <f t="shared" si="0"/>
        <v>0.29916546351733747</v>
      </c>
      <c r="F6" s="1">
        <f t="shared" si="1"/>
        <v>0.67193449522923399</v>
      </c>
      <c r="G6" s="1">
        <f t="shared" si="2"/>
        <v>-0.97949897761744975</v>
      </c>
      <c r="H6" s="1">
        <f t="shared" si="3"/>
        <v>-8.3990188708783498E-3</v>
      </c>
      <c r="J6" s="1">
        <f t="shared" si="4"/>
        <v>0.95420124996693267</v>
      </c>
      <c r="K6" s="1">
        <f t="shared" si="5"/>
        <v>-0.74061058196668672</v>
      </c>
      <c r="L6" s="1">
        <f t="shared" si="6"/>
        <v>-0.20144913215591345</v>
      </c>
      <c r="M6" s="1">
        <f t="shared" si="7"/>
        <v>1.2141535844332502E-2</v>
      </c>
      <c r="O6">
        <f t="shared" si="8"/>
        <v>1.3188902814310925</v>
      </c>
      <c r="P6">
        <f t="shared" si="9"/>
        <v>5.0519305772726701</v>
      </c>
      <c r="Q6">
        <f t="shared" si="10"/>
        <v>3.6808957028184701</v>
      </c>
      <c r="R6" s="1">
        <f t="shared" ref="R6" si="15">SUM(O6:Q6)</f>
        <v>10.051716561522232</v>
      </c>
    </row>
    <row r="7" spans="1:18" x14ac:dyDescent="0.3">
      <c r="A7" s="1"/>
      <c r="B7" s="1"/>
      <c r="C7" s="1"/>
      <c r="E7" s="1"/>
      <c r="F7" s="1"/>
      <c r="G7" s="1"/>
      <c r="H7" s="1"/>
      <c r="J7" s="1"/>
      <c r="K7" s="1"/>
      <c r="L7" s="1"/>
      <c r="M7" s="1"/>
    </row>
    <row r="8" spans="1:18" x14ac:dyDescent="0.3">
      <c r="A8" s="1"/>
      <c r="B8" s="1"/>
      <c r="C8" s="1"/>
      <c r="E8" s="1"/>
      <c r="F8" s="1"/>
      <c r="G8" s="1"/>
      <c r="H8" s="1"/>
      <c r="J8" s="1"/>
      <c r="K8" s="1"/>
      <c r="L8" s="1"/>
      <c r="M8" s="1"/>
    </row>
    <row r="9" spans="1:18" x14ac:dyDescent="0.3">
      <c r="A9" s="1"/>
      <c r="B9" s="1"/>
      <c r="C9" s="1"/>
      <c r="E9" s="1"/>
      <c r="F9" s="1"/>
      <c r="G9" s="1"/>
      <c r="H9" s="1"/>
      <c r="J9" s="1"/>
      <c r="K9" s="1"/>
      <c r="L9" s="1"/>
      <c r="M9" s="1"/>
    </row>
    <row r="10" spans="1:18" x14ac:dyDescent="0.3">
      <c r="A10" s="1"/>
      <c r="B10" s="1"/>
      <c r="C10" s="1"/>
      <c r="E10" s="1"/>
      <c r="F10" s="1"/>
      <c r="G10" s="1"/>
      <c r="H10" s="1"/>
      <c r="J10" s="1"/>
      <c r="K10" s="1"/>
      <c r="L10" s="1"/>
      <c r="M10" s="1"/>
    </row>
    <row r="11" spans="1:18" x14ac:dyDescent="0.3">
      <c r="A11" s="1"/>
      <c r="B11" s="1"/>
      <c r="C11" s="1"/>
      <c r="E11" s="1"/>
      <c r="F11" s="1"/>
      <c r="G11" s="1"/>
      <c r="H11" s="1"/>
      <c r="J11" s="1"/>
      <c r="K11" s="1"/>
      <c r="L11" s="1"/>
      <c r="M11" s="1"/>
    </row>
    <row r="12" spans="1:18" x14ac:dyDescent="0.3">
      <c r="A12" s="1"/>
      <c r="B12" s="1"/>
      <c r="C12" s="1"/>
      <c r="E12" s="1"/>
      <c r="F12" s="1"/>
      <c r="G12" s="1"/>
      <c r="H12" s="1"/>
      <c r="J12" s="1"/>
      <c r="K12" s="1"/>
      <c r="L12" s="1"/>
      <c r="M12" s="1"/>
    </row>
    <row r="13" spans="1:18" x14ac:dyDescent="0.3">
      <c r="A13" s="1"/>
      <c r="B13" s="1"/>
      <c r="C13" s="1"/>
      <c r="E13" s="1"/>
      <c r="F13" s="1"/>
      <c r="G13" s="1"/>
      <c r="H13" s="1"/>
      <c r="J13" s="1"/>
      <c r="K13" s="1"/>
      <c r="L13" s="1"/>
      <c r="M13" s="1"/>
    </row>
    <row r="14" spans="1:18" x14ac:dyDescent="0.3">
      <c r="A14" s="1"/>
      <c r="B14" s="1"/>
      <c r="C14" s="1"/>
      <c r="E14" s="1"/>
      <c r="F14" s="1"/>
      <c r="G14" s="1"/>
      <c r="H14" s="1"/>
      <c r="J14" s="1"/>
      <c r="K14" s="1"/>
      <c r="L14" s="1"/>
      <c r="M14" s="1"/>
    </row>
    <row r="15" spans="1:18" x14ac:dyDescent="0.3">
      <c r="A15" s="1"/>
      <c r="B15" s="1"/>
      <c r="C15" s="1"/>
      <c r="E15" s="1"/>
      <c r="F15" s="1"/>
      <c r="G15" s="1"/>
      <c r="H15" s="1"/>
      <c r="J15" s="1"/>
      <c r="K15" s="1"/>
      <c r="L15" s="1"/>
      <c r="M15" s="1"/>
    </row>
    <row r="16" spans="1:18" x14ac:dyDescent="0.3">
      <c r="A16" s="1"/>
      <c r="B16" s="1"/>
      <c r="C16" s="1"/>
      <c r="E16" s="1"/>
      <c r="F16" s="1"/>
      <c r="G16" s="1"/>
      <c r="H16" s="1"/>
      <c r="J16" s="1"/>
      <c r="K16" s="1"/>
      <c r="L16" s="1"/>
      <c r="M16" s="1"/>
    </row>
    <row r="17" spans="1:13" x14ac:dyDescent="0.3">
      <c r="A17" s="1"/>
      <c r="B17" s="1"/>
      <c r="C17" s="1"/>
      <c r="E17" s="1"/>
      <c r="F17" s="1"/>
      <c r="G17" s="1"/>
      <c r="H17" s="1"/>
      <c r="J17" s="1"/>
      <c r="K17" s="1"/>
      <c r="L17" s="1"/>
      <c r="M17" s="1"/>
    </row>
    <row r="18" spans="1:13" x14ac:dyDescent="0.3">
      <c r="A18" s="1"/>
      <c r="B18" s="1"/>
      <c r="C18" s="1"/>
      <c r="E18" s="1"/>
      <c r="F18" s="1"/>
      <c r="G18" s="1"/>
      <c r="H18" s="1"/>
      <c r="J18" s="1"/>
      <c r="K18" s="1"/>
      <c r="L18" s="1"/>
      <c r="M18" s="1"/>
    </row>
    <row r="19" spans="1:13" x14ac:dyDescent="0.3">
      <c r="A19" s="1"/>
      <c r="B19" s="1"/>
      <c r="C19" s="1"/>
      <c r="E19" s="1"/>
      <c r="F19" s="1"/>
      <c r="G19" s="1"/>
      <c r="H19" s="1"/>
      <c r="J19" s="1"/>
      <c r="K19" s="1"/>
      <c r="L19" s="1"/>
      <c r="M19" s="1"/>
    </row>
    <row r="20" spans="1:13" x14ac:dyDescent="0.3">
      <c r="A20" s="1"/>
      <c r="B20" s="1"/>
      <c r="C20" s="1"/>
      <c r="E20" s="1"/>
      <c r="F20" s="1"/>
      <c r="G20" s="1"/>
      <c r="H20" s="1"/>
      <c r="J20" s="1"/>
      <c r="K20" s="1"/>
      <c r="L20" s="1"/>
      <c r="M20" s="1"/>
    </row>
    <row r="21" spans="1:13" x14ac:dyDescent="0.3">
      <c r="A21" s="1"/>
      <c r="B21" s="1"/>
      <c r="C21" s="1"/>
      <c r="E21" s="1"/>
      <c r="F21" s="1"/>
      <c r="G21" s="1"/>
      <c r="H21" s="1"/>
      <c r="J21" s="1"/>
      <c r="K21" s="1"/>
      <c r="L21" s="1"/>
      <c r="M21" s="1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>slava</cp:lastModifiedBy>
  <dcterms:created xsi:type="dcterms:W3CDTF">2020-03-28T12:01:33Z</dcterms:created>
  <dcterms:modified xsi:type="dcterms:W3CDTF">2020-03-28T15:54:48Z</dcterms:modified>
</cp:coreProperties>
</file>