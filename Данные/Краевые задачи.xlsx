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72" windowWidth="22980" windowHeight="9528" activeTab="1"/>
  </bookViews>
  <sheets>
    <sheet name="Лист1" sheetId="1" r:id="rId1"/>
    <sheet name="Лист2" sheetId="2" r:id="rId2"/>
    <sheet name="Лист3" sheetId="3" r:id="rId3"/>
  </sheets>
  <calcPr calcId="145621"/>
</workbook>
</file>

<file path=xl/calcChain.xml><?xml version="1.0" encoding="utf-8"?>
<calcChain xmlns="http://schemas.openxmlformats.org/spreadsheetml/2006/main">
  <c r="L11" i="2" l="1"/>
  <c r="L10" i="2"/>
  <c r="L9" i="2"/>
  <c r="L8" i="2"/>
  <c r="L7" i="2"/>
  <c r="L6" i="2"/>
  <c r="L5" i="2"/>
  <c r="L4" i="2"/>
  <c r="K11" i="2"/>
  <c r="K10" i="2"/>
  <c r="K9" i="2"/>
  <c r="K8" i="2"/>
  <c r="K7" i="2"/>
  <c r="K6" i="2"/>
  <c r="K5" i="2"/>
  <c r="K4" i="2"/>
  <c r="J11" i="2"/>
  <c r="J10" i="2"/>
  <c r="J9" i="2"/>
  <c r="J8" i="2"/>
  <c r="J7" i="2"/>
  <c r="J6" i="2"/>
  <c r="J5" i="2"/>
  <c r="J4" i="2"/>
  <c r="J3" i="2"/>
  <c r="I12" i="2"/>
  <c r="I11" i="2"/>
  <c r="I10" i="2"/>
  <c r="I9" i="2"/>
  <c r="I8" i="2"/>
  <c r="I7" i="2"/>
  <c r="I6" i="2"/>
  <c r="I5" i="2"/>
  <c r="I4" i="2"/>
  <c r="F16" i="3" l="1"/>
  <c r="F15" i="3"/>
  <c r="G12" i="2"/>
  <c r="G11" i="2"/>
  <c r="G10" i="2"/>
  <c r="G9" i="2"/>
  <c r="G8" i="2"/>
  <c r="G7" i="2"/>
  <c r="G6" i="2"/>
  <c r="G5" i="2"/>
  <c r="G4" i="2"/>
  <c r="F12" i="2"/>
  <c r="F11" i="2"/>
  <c r="F10" i="2"/>
  <c r="F9" i="2"/>
  <c r="F8" i="2"/>
  <c r="F7" i="2"/>
  <c r="F6" i="2"/>
  <c r="F5" i="2"/>
  <c r="F4" i="2"/>
  <c r="G3" i="2"/>
  <c r="F3" i="2"/>
  <c r="D12" i="2"/>
  <c r="D11" i="2"/>
  <c r="E12" i="2" s="1"/>
  <c r="D10" i="2"/>
  <c r="D9" i="2"/>
  <c r="E10" i="2" s="1"/>
  <c r="D8" i="2"/>
  <c r="D7" i="2"/>
  <c r="E8" i="2" s="1"/>
  <c r="D6" i="2"/>
  <c r="D5" i="2"/>
  <c r="E6" i="2" s="1"/>
  <c r="D4" i="2"/>
  <c r="D3" i="2"/>
  <c r="E4" i="2" s="1"/>
  <c r="C12" i="2"/>
  <c r="C11" i="2"/>
  <c r="C10" i="2"/>
  <c r="C9" i="2"/>
  <c r="C8" i="2"/>
  <c r="C7" i="2"/>
  <c r="C6" i="2"/>
  <c r="C5" i="2"/>
  <c r="C4" i="2"/>
  <c r="E5" i="2" l="1"/>
  <c r="E7" i="2"/>
  <c r="E9" i="2"/>
  <c r="E11" i="2"/>
  <c r="I11" i="1"/>
  <c r="I10" i="1"/>
  <c r="I9" i="1"/>
  <c r="I8" i="1"/>
  <c r="I7" i="1"/>
  <c r="I6" i="1"/>
  <c r="I5" i="1"/>
  <c r="I4" i="1"/>
  <c r="I3" i="1"/>
  <c r="I2" i="1"/>
  <c r="H11" i="1"/>
  <c r="H10" i="1"/>
  <c r="H9" i="1"/>
  <c r="H8" i="1"/>
  <c r="H7" i="1"/>
  <c r="H6" i="1"/>
  <c r="H5" i="1"/>
  <c r="H4" i="1"/>
  <c r="H3" i="1"/>
  <c r="H2" i="1"/>
  <c r="G11" i="1"/>
  <c r="G10" i="1"/>
  <c r="G9" i="1"/>
  <c r="G8" i="1"/>
  <c r="G7" i="1"/>
  <c r="G6" i="1"/>
  <c r="G5" i="1"/>
  <c r="G4" i="1"/>
  <c r="G3" i="1"/>
  <c r="G2" i="1"/>
  <c r="E10" i="1"/>
  <c r="E5" i="1"/>
  <c r="E4" i="1"/>
  <c r="E3" i="1"/>
  <c r="D4" i="1"/>
  <c r="C4" i="1"/>
  <c r="C8" i="1"/>
  <c r="E9" i="1" s="1"/>
  <c r="D8" i="1"/>
  <c r="D11" i="1"/>
  <c r="D10" i="1"/>
  <c r="D9" i="1"/>
  <c r="D7" i="1"/>
  <c r="D6" i="1"/>
  <c r="D5" i="1"/>
  <c r="D3" i="1"/>
  <c r="C11" i="1"/>
  <c r="E11" i="1" s="1"/>
  <c r="C10" i="1"/>
  <c r="C9" i="1"/>
  <c r="C7" i="1"/>
  <c r="C6" i="1"/>
  <c r="E6" i="1" s="1"/>
  <c r="C5" i="1"/>
  <c r="C3" i="1"/>
  <c r="E7" i="1" l="1"/>
  <c r="E8" i="1"/>
</calcChain>
</file>

<file path=xl/sharedStrings.xml><?xml version="1.0" encoding="utf-8"?>
<sst xmlns="http://schemas.openxmlformats.org/spreadsheetml/2006/main" count="20" uniqueCount="20">
  <si>
    <t>h</t>
  </si>
  <si>
    <t>k</t>
  </si>
  <si>
    <t>x</t>
  </si>
  <si>
    <t>x*</t>
  </si>
  <si>
    <t>h*</t>
  </si>
  <si>
    <t>q</t>
  </si>
  <si>
    <t>$x_i$</t>
  </si>
  <si>
    <t>$i$</t>
  </si>
  <si>
    <t>$h_i$</t>
  </si>
  <si>
    <t>$k(x)=3+sin(x)$</t>
  </si>
  <si>
    <t>$q(x)=abs(cos(x))$</t>
  </si>
  <si>
    <t>$f(x)=0,5*(x-1)^2$</t>
  </si>
  <si>
    <t>&lt;k&gt;</t>
  </si>
  <si>
    <t>\overline{k}_i</t>
  </si>
  <si>
    <t>\overline{q}_i</t>
  </si>
  <si>
    <t>\overline{f}_i</t>
  </si>
  <si>
    <t>$a_i$</t>
  </si>
  <si>
    <t>$b_i$</t>
  </si>
  <si>
    <t>$c_i$</t>
  </si>
  <si>
    <t>$f_i$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</si>
</sst>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0" fillId="2" borderId="0" xfId="0" applyFill="1"/>
    <xf numFmtId="2" fontId="0" fillId="2" borderId="0" xfId="0" applyNumberForma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workbookViewId="0">
      <selection activeCell="I2" sqref="I2"/>
    </sheetView>
  </sheetViews>
  <sheetFormatPr defaultRowHeight="14.4" x14ac:dyDescent="0.3"/>
  <sheetData>
    <row r="1" spans="1:9" x14ac:dyDescent="0.3">
      <c r="B1" t="s">
        <v>2</v>
      </c>
      <c r="C1" t="s">
        <v>3</v>
      </c>
      <c r="D1" t="s">
        <v>0</v>
      </c>
      <c r="E1" t="s">
        <v>4</v>
      </c>
      <c r="G1" t="s">
        <v>1</v>
      </c>
      <c r="H1" t="s">
        <v>5</v>
      </c>
    </row>
    <row r="2" spans="1:9" x14ac:dyDescent="0.3">
      <c r="A2">
        <v>0</v>
      </c>
      <c r="B2">
        <v>0</v>
      </c>
      <c r="G2" s="1">
        <f>3+SIN(B2)</f>
        <v>3</v>
      </c>
      <c r="H2" s="1">
        <f>ABS(COS(B2))</f>
        <v>1</v>
      </c>
      <c r="I2" s="1">
        <f>0.5*(B2-1)^2</f>
        <v>0.5</v>
      </c>
    </row>
    <row r="3" spans="1:9" x14ac:dyDescent="0.3">
      <c r="A3">
        <v>1</v>
      </c>
      <c r="B3">
        <v>1</v>
      </c>
      <c r="C3">
        <f>(B3+B2)*0.5</f>
        <v>0.5</v>
      </c>
      <c r="D3">
        <f>B3-B2</f>
        <v>1</v>
      </c>
      <c r="E3">
        <f>C3-C2</f>
        <v>0.5</v>
      </c>
      <c r="G3" s="1">
        <f t="shared" ref="G3:G11" si="0">3+SIN(B3)</f>
        <v>3.8414709848078967</v>
      </c>
      <c r="H3" s="1">
        <f t="shared" ref="H3:H11" si="1">ABS(COS(B3))</f>
        <v>0.54030230586813977</v>
      </c>
      <c r="I3" s="1">
        <f t="shared" ref="I3:I11" si="2">0.5*(B3-1)^2</f>
        <v>0</v>
      </c>
    </row>
    <row r="4" spans="1:9" x14ac:dyDescent="0.3">
      <c r="A4">
        <v>2</v>
      </c>
      <c r="B4">
        <v>2</v>
      </c>
      <c r="C4">
        <f>(B4+B3)*0.5</f>
        <v>1.5</v>
      </c>
      <c r="D4">
        <f>B4-B3</f>
        <v>1</v>
      </c>
      <c r="E4">
        <f t="shared" ref="E4:E11" si="3">C4-C3</f>
        <v>1</v>
      </c>
      <c r="G4" s="1">
        <f t="shared" si="0"/>
        <v>3.9092974268256819</v>
      </c>
      <c r="H4" s="1">
        <f t="shared" si="1"/>
        <v>0.41614683654714241</v>
      </c>
      <c r="I4" s="1">
        <f t="shared" si="2"/>
        <v>0.5</v>
      </c>
    </row>
    <row r="5" spans="1:9" x14ac:dyDescent="0.3">
      <c r="A5">
        <v>3</v>
      </c>
      <c r="B5">
        <v>3</v>
      </c>
      <c r="C5">
        <f t="shared" ref="C5:C11" si="4">(B5+B4)*0.5</f>
        <v>2.5</v>
      </c>
      <c r="D5">
        <f t="shared" ref="D5:D11" si="5">B5-B4</f>
        <v>1</v>
      </c>
      <c r="E5">
        <f t="shared" si="3"/>
        <v>1</v>
      </c>
      <c r="G5" s="1">
        <f t="shared" si="0"/>
        <v>3.1411200080598674</v>
      </c>
      <c r="H5" s="1">
        <f t="shared" si="1"/>
        <v>0.98999249660044542</v>
      </c>
      <c r="I5" s="1">
        <f t="shared" si="2"/>
        <v>2</v>
      </c>
    </row>
    <row r="6" spans="1:9" x14ac:dyDescent="0.3">
      <c r="A6">
        <v>4</v>
      </c>
      <c r="B6">
        <v>4</v>
      </c>
      <c r="C6">
        <f t="shared" si="4"/>
        <v>3.5</v>
      </c>
      <c r="D6">
        <f t="shared" si="5"/>
        <v>1</v>
      </c>
      <c r="E6">
        <f t="shared" si="3"/>
        <v>1</v>
      </c>
      <c r="G6" s="1">
        <f t="shared" si="0"/>
        <v>2.2431975046920716</v>
      </c>
      <c r="H6" s="1">
        <f t="shared" si="1"/>
        <v>0.65364362086361194</v>
      </c>
      <c r="I6" s="1">
        <f t="shared" si="2"/>
        <v>4.5</v>
      </c>
    </row>
    <row r="7" spans="1:9" x14ac:dyDescent="0.3">
      <c r="A7">
        <v>5</v>
      </c>
      <c r="B7">
        <v>4.75</v>
      </c>
      <c r="C7">
        <f t="shared" si="4"/>
        <v>4.375</v>
      </c>
      <c r="D7">
        <f t="shared" si="5"/>
        <v>0.75</v>
      </c>
      <c r="E7">
        <f t="shared" si="3"/>
        <v>0.875</v>
      </c>
      <c r="G7" s="1">
        <f t="shared" si="0"/>
        <v>2.000707211024622</v>
      </c>
      <c r="H7" s="1">
        <f t="shared" si="1"/>
        <v>3.7602152887976553E-2</v>
      </c>
      <c r="I7" s="1">
        <f t="shared" si="2"/>
        <v>7.03125</v>
      </c>
    </row>
    <row r="8" spans="1:9" x14ac:dyDescent="0.3">
      <c r="A8">
        <v>6</v>
      </c>
      <c r="B8">
        <v>5</v>
      </c>
      <c r="C8">
        <f t="shared" si="4"/>
        <v>4.875</v>
      </c>
      <c r="D8">
        <f t="shared" si="5"/>
        <v>0.25</v>
      </c>
      <c r="E8">
        <f t="shared" si="3"/>
        <v>0.5</v>
      </c>
      <c r="G8" s="1">
        <f t="shared" si="0"/>
        <v>2.0410757253368614</v>
      </c>
      <c r="H8" s="1">
        <f t="shared" si="1"/>
        <v>0.28366218546322625</v>
      </c>
      <c r="I8" s="1">
        <f t="shared" si="2"/>
        <v>8</v>
      </c>
    </row>
    <row r="9" spans="1:9" x14ac:dyDescent="0.3">
      <c r="A9">
        <v>7</v>
      </c>
      <c r="B9">
        <v>5.5</v>
      </c>
      <c r="C9">
        <f>(B9+B8)*0.5</f>
        <v>5.25</v>
      </c>
      <c r="D9">
        <f>B9-B8</f>
        <v>0.5</v>
      </c>
      <c r="E9">
        <f t="shared" si="3"/>
        <v>0.375</v>
      </c>
      <c r="G9" s="1">
        <f t="shared" si="0"/>
        <v>2.294459674429608</v>
      </c>
      <c r="H9" s="1">
        <f t="shared" si="1"/>
        <v>0.70866977429125999</v>
      </c>
      <c r="I9" s="1">
        <f t="shared" si="2"/>
        <v>10.125</v>
      </c>
    </row>
    <row r="10" spans="1:9" x14ac:dyDescent="0.3">
      <c r="A10">
        <v>8</v>
      </c>
      <c r="B10">
        <v>6</v>
      </c>
      <c r="C10">
        <f t="shared" si="4"/>
        <v>5.75</v>
      </c>
      <c r="D10">
        <f t="shared" si="5"/>
        <v>0.5</v>
      </c>
      <c r="E10">
        <f t="shared" si="3"/>
        <v>0.5</v>
      </c>
      <c r="G10" s="1">
        <f t="shared" si="0"/>
        <v>2.7205845018010741</v>
      </c>
      <c r="H10" s="1">
        <f t="shared" si="1"/>
        <v>0.96017028665036597</v>
      </c>
      <c r="I10" s="1">
        <f t="shared" si="2"/>
        <v>12.5</v>
      </c>
    </row>
    <row r="11" spans="1:9" x14ac:dyDescent="0.3">
      <c r="A11">
        <v>9</v>
      </c>
      <c r="B11">
        <v>7</v>
      </c>
      <c r="C11">
        <f t="shared" si="4"/>
        <v>6.5</v>
      </c>
      <c r="D11">
        <f t="shared" si="5"/>
        <v>1</v>
      </c>
      <c r="E11">
        <f t="shared" si="3"/>
        <v>0.75</v>
      </c>
      <c r="G11" s="1">
        <f t="shared" si="0"/>
        <v>3.6569865987187891</v>
      </c>
      <c r="H11" s="1">
        <f t="shared" si="1"/>
        <v>0.7539022543433046</v>
      </c>
      <c r="I11" s="1">
        <f t="shared" si="2"/>
        <v>18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"/>
  <sheetViews>
    <sheetView tabSelected="1" workbookViewId="0">
      <selection activeCell="L4" sqref="L4"/>
    </sheetView>
  </sheetViews>
  <sheetFormatPr defaultRowHeight="14.4" x14ac:dyDescent="0.3"/>
  <cols>
    <col min="4" max="4" width="13.21875" bestFit="1" customWidth="1"/>
    <col min="5" max="5" width="12" bestFit="1" customWidth="1"/>
    <col min="6" max="6" width="15.77734375" bestFit="1" customWidth="1"/>
    <col min="7" max="7" width="15.88671875" bestFit="1" customWidth="1"/>
  </cols>
  <sheetData>
    <row r="1" spans="1:14" x14ac:dyDescent="0.3">
      <c r="E1" t="s">
        <v>12</v>
      </c>
      <c r="F1" t="s">
        <v>10</v>
      </c>
      <c r="G1" t="s">
        <v>11</v>
      </c>
    </row>
    <row r="2" spans="1:14" x14ac:dyDescent="0.3">
      <c r="A2" t="s">
        <v>7</v>
      </c>
      <c r="B2" t="s">
        <v>6</v>
      </c>
      <c r="C2" t="s">
        <v>8</v>
      </c>
      <c r="D2" t="s">
        <v>9</v>
      </c>
      <c r="E2" t="s">
        <v>13</v>
      </c>
      <c r="F2" t="s">
        <v>14</v>
      </c>
      <c r="G2" t="s">
        <v>15</v>
      </c>
      <c r="I2" t="s">
        <v>16</v>
      </c>
      <c r="J2" t="s">
        <v>17</v>
      </c>
      <c r="K2" t="s">
        <v>18</v>
      </c>
      <c r="L2" t="s">
        <v>19</v>
      </c>
    </row>
    <row r="3" spans="1:14" s="2" customFormat="1" x14ac:dyDescent="0.3">
      <c r="A3" s="2">
        <v>0</v>
      </c>
      <c r="B3" s="2">
        <v>0</v>
      </c>
      <c r="D3" s="3">
        <f t="shared" ref="D3:D12" si="0">3+SIN(B3)</f>
        <v>3</v>
      </c>
      <c r="E3" s="3"/>
      <c r="F3" s="3">
        <f>ABS(COS(B3))</f>
        <v>1</v>
      </c>
      <c r="G3" s="3">
        <f>0.5*(B3-1)^2</f>
        <v>0.5</v>
      </c>
      <c r="I3" s="3"/>
      <c r="J3" s="3">
        <f>I4</f>
        <v>3.3689868684716164</v>
      </c>
      <c r="K3" s="3"/>
      <c r="L3" s="3"/>
      <c r="M3" s="3"/>
      <c r="N3" s="3"/>
    </row>
    <row r="4" spans="1:14" s="2" customFormat="1" x14ac:dyDescent="0.3">
      <c r="A4" s="2">
        <v>1</v>
      </c>
      <c r="B4" s="2">
        <v>1</v>
      </c>
      <c r="C4" s="2">
        <f>B4-B3</f>
        <v>1</v>
      </c>
      <c r="D4" s="3">
        <f t="shared" si="0"/>
        <v>3.8414709848078967</v>
      </c>
      <c r="E4" s="3">
        <f>2*D3*D4/(D3+D4)</f>
        <v>3.3689868684716164</v>
      </c>
      <c r="F4" s="3">
        <f>ABS(COS(B4))</f>
        <v>0.54030230586813977</v>
      </c>
      <c r="G4" s="3">
        <f>0.5*(B4-1)^2</f>
        <v>0</v>
      </c>
      <c r="I4" s="3">
        <f>E4/C4</f>
        <v>3.3689868684716164</v>
      </c>
      <c r="J4" s="3">
        <f t="shared" ref="J4:J11" si="1">I5</f>
        <v>3.8750874335490302</v>
      </c>
      <c r="K4" s="3">
        <f>(I4+J4)+F4*(C4+C5)/2</f>
        <v>7.7843766078887864</v>
      </c>
      <c r="L4" s="3">
        <f>G4*(C4+C5)/2</f>
        <v>0</v>
      </c>
      <c r="M4" s="3"/>
      <c r="N4" s="3"/>
    </row>
    <row r="5" spans="1:14" s="2" customFormat="1" x14ac:dyDescent="0.3">
      <c r="A5" s="2">
        <v>2</v>
      </c>
      <c r="B5" s="2">
        <v>2</v>
      </c>
      <c r="C5" s="2">
        <f>B5-B4</f>
        <v>1</v>
      </c>
      <c r="D5" s="3">
        <f t="shared" si="0"/>
        <v>3.9092974268256819</v>
      </c>
      <c r="E5" s="3">
        <f t="shared" ref="E5:E12" si="2">2*D4*D5/(D4+D5)</f>
        <v>3.8750874335490302</v>
      </c>
      <c r="F5" s="3">
        <f>ABS(COS(B5))</f>
        <v>0.41614683654714241</v>
      </c>
      <c r="G5" s="3">
        <f>0.5*(B5-1)^2</f>
        <v>0.5</v>
      </c>
      <c r="I5" s="3">
        <f t="shared" ref="I5:I12" si="3">E5/C5</f>
        <v>3.8750874335490302</v>
      </c>
      <c r="J5" s="3">
        <f t="shared" si="1"/>
        <v>3.4833603763940655</v>
      </c>
      <c r="K5" s="3">
        <f t="shared" ref="K5:K11" si="4">(I5+J5)+F5*(C5+C6)/2</f>
        <v>7.7745946464902378</v>
      </c>
      <c r="L5" s="3">
        <f t="shared" ref="L5:L11" si="5">G5*(C5+C6)/2</f>
        <v>0.5</v>
      </c>
      <c r="M5" s="3"/>
      <c r="N5" s="3"/>
    </row>
    <row r="6" spans="1:14" s="2" customFormat="1" x14ac:dyDescent="0.3">
      <c r="A6" s="2">
        <v>3</v>
      </c>
      <c r="B6" s="2">
        <v>3</v>
      </c>
      <c r="C6" s="2">
        <f>B6-B5</f>
        <v>1</v>
      </c>
      <c r="D6" s="3">
        <f t="shared" si="0"/>
        <v>3.1411200080598674</v>
      </c>
      <c r="E6" s="3">
        <f t="shared" si="2"/>
        <v>3.4833603763940655</v>
      </c>
      <c r="F6" s="3">
        <f>ABS(COS(B6))</f>
        <v>0.98999249660044542</v>
      </c>
      <c r="G6" s="3">
        <f>0.5*(B6-1)^2</f>
        <v>2</v>
      </c>
      <c r="I6" s="3">
        <f t="shared" si="3"/>
        <v>3.4833603763940655</v>
      </c>
      <c r="J6" s="3">
        <f t="shared" si="1"/>
        <v>2.6172871667878024</v>
      </c>
      <c r="K6" s="3">
        <f t="shared" si="4"/>
        <v>7.0906400397823131</v>
      </c>
      <c r="L6" s="3">
        <f t="shared" si="5"/>
        <v>2</v>
      </c>
      <c r="M6" s="3"/>
      <c r="N6" s="3"/>
    </row>
    <row r="7" spans="1:14" s="2" customFormat="1" x14ac:dyDescent="0.3">
      <c r="A7" s="2">
        <v>4</v>
      </c>
      <c r="B7" s="2">
        <v>4</v>
      </c>
      <c r="C7" s="2">
        <f>B7-B6</f>
        <v>1</v>
      </c>
      <c r="D7" s="3">
        <f t="shared" si="0"/>
        <v>2.2431975046920716</v>
      </c>
      <c r="E7" s="3">
        <f t="shared" si="2"/>
        <v>2.6172871667878024</v>
      </c>
      <c r="F7" s="3">
        <f>ABS(COS(B7))</f>
        <v>0.65364362086361194</v>
      </c>
      <c r="G7" s="3">
        <f>0.5*(B7-1)^2</f>
        <v>4.5</v>
      </c>
      <c r="I7" s="3">
        <f t="shared" si="3"/>
        <v>2.6172871667878024</v>
      </c>
      <c r="J7" s="3">
        <f t="shared" si="1"/>
        <v>2.8200327915118795</v>
      </c>
      <c r="K7" s="3">
        <f t="shared" si="4"/>
        <v>6.0092581265553422</v>
      </c>
      <c r="L7" s="3">
        <f t="shared" si="5"/>
        <v>3.9375</v>
      </c>
      <c r="M7" s="3"/>
      <c r="N7" s="3"/>
    </row>
    <row r="8" spans="1:14" s="2" customFormat="1" x14ac:dyDescent="0.3">
      <c r="A8" s="2">
        <v>5</v>
      </c>
      <c r="B8" s="2">
        <v>4.75</v>
      </c>
      <c r="C8" s="2">
        <f>B8-B7</f>
        <v>0.75</v>
      </c>
      <c r="D8" s="3">
        <f t="shared" si="0"/>
        <v>2.000707211024622</v>
      </c>
      <c r="E8" s="3">
        <f t="shared" si="2"/>
        <v>2.1150245936339096</v>
      </c>
      <c r="F8" s="3">
        <f>ABS(COS(B8))</f>
        <v>3.7602152887976553E-2</v>
      </c>
      <c r="G8" s="3">
        <f>0.5*(B8-1)^2</f>
        <v>7.03125</v>
      </c>
      <c r="I8" s="3">
        <f t="shared" si="3"/>
        <v>2.8200327915118795</v>
      </c>
      <c r="J8" s="3">
        <f t="shared" si="1"/>
        <v>8.0827594875343323</v>
      </c>
      <c r="K8" s="3">
        <f t="shared" si="4"/>
        <v>10.9215933554902</v>
      </c>
      <c r="L8" s="3">
        <f t="shared" si="5"/>
        <v>3.515625</v>
      </c>
      <c r="M8" s="3"/>
      <c r="N8" s="3"/>
    </row>
    <row r="9" spans="1:14" s="2" customFormat="1" x14ac:dyDescent="0.3">
      <c r="A9" s="2">
        <v>6</v>
      </c>
      <c r="B9" s="2">
        <v>5</v>
      </c>
      <c r="C9" s="2">
        <f>B9-B8</f>
        <v>0.25</v>
      </c>
      <c r="D9" s="3">
        <f t="shared" si="0"/>
        <v>2.0410757253368614</v>
      </c>
      <c r="E9" s="3">
        <f t="shared" si="2"/>
        <v>2.0206898718835831</v>
      </c>
      <c r="F9" s="3">
        <f>ABS(COS(B9))</f>
        <v>0.28366218546322625</v>
      </c>
      <c r="G9" s="3">
        <f>0.5*(B9-1)^2</f>
        <v>8</v>
      </c>
      <c r="I9" s="3">
        <f t="shared" si="3"/>
        <v>8.0827594875343323</v>
      </c>
      <c r="J9" s="3">
        <f t="shared" si="1"/>
        <v>4.3207267499140674</v>
      </c>
      <c r="K9" s="3">
        <f t="shared" si="4"/>
        <v>12.50985955699711</v>
      </c>
      <c r="L9" s="3">
        <f t="shared" si="5"/>
        <v>3</v>
      </c>
      <c r="M9" s="3"/>
      <c r="N9" s="3"/>
    </row>
    <row r="10" spans="1:14" s="2" customFormat="1" x14ac:dyDescent="0.3">
      <c r="A10" s="2">
        <v>7</v>
      </c>
      <c r="B10" s="2">
        <v>5.5</v>
      </c>
      <c r="C10" s="2">
        <f>B10-B9</f>
        <v>0.5</v>
      </c>
      <c r="D10" s="3">
        <f t="shared" si="0"/>
        <v>2.294459674429608</v>
      </c>
      <c r="E10" s="3">
        <f t="shared" si="2"/>
        <v>2.1603633749570337</v>
      </c>
      <c r="F10" s="3">
        <f>ABS(COS(B10))</f>
        <v>0.70866977429125999</v>
      </c>
      <c r="G10" s="3">
        <f>0.5*(B10-1)^2</f>
        <v>10.125</v>
      </c>
      <c r="I10" s="3">
        <f t="shared" si="3"/>
        <v>4.3207267499140674</v>
      </c>
      <c r="J10" s="3">
        <f t="shared" si="1"/>
        <v>4.9788366450262735</v>
      </c>
      <c r="K10" s="3">
        <f t="shared" si="4"/>
        <v>9.6538982820859705</v>
      </c>
      <c r="L10" s="3">
        <f t="shared" si="5"/>
        <v>5.0625</v>
      </c>
      <c r="M10" s="3"/>
      <c r="N10" s="3"/>
    </row>
    <row r="11" spans="1:14" s="2" customFormat="1" x14ac:dyDescent="0.3">
      <c r="A11" s="2">
        <v>8</v>
      </c>
      <c r="B11" s="2">
        <v>6</v>
      </c>
      <c r="C11" s="2">
        <f>B11-B10</f>
        <v>0.5</v>
      </c>
      <c r="D11" s="3">
        <f t="shared" si="0"/>
        <v>2.7205845018010741</v>
      </c>
      <c r="E11" s="3">
        <f t="shared" si="2"/>
        <v>2.4894183225131368</v>
      </c>
      <c r="F11" s="3">
        <f>ABS(COS(B11))</f>
        <v>0.96017028665036597</v>
      </c>
      <c r="G11" s="3">
        <f>0.5*(B11-1)^2</f>
        <v>12.5</v>
      </c>
      <c r="I11" s="3">
        <f t="shared" si="3"/>
        <v>4.9788366450262735</v>
      </c>
      <c r="J11" s="3">
        <f t="shared" si="1"/>
        <v>3.1200408139573903</v>
      </c>
      <c r="K11" s="3">
        <f t="shared" si="4"/>
        <v>8.819005173971437</v>
      </c>
      <c r="L11" s="3">
        <f t="shared" si="5"/>
        <v>9.375</v>
      </c>
      <c r="M11" s="3"/>
      <c r="N11" s="3"/>
    </row>
    <row r="12" spans="1:14" s="2" customFormat="1" x14ac:dyDescent="0.3">
      <c r="A12" s="2">
        <v>9</v>
      </c>
      <c r="B12" s="2">
        <v>7</v>
      </c>
      <c r="C12" s="2">
        <f>B12-B11</f>
        <v>1</v>
      </c>
      <c r="D12" s="3">
        <f t="shared" si="0"/>
        <v>3.6569865987187891</v>
      </c>
      <c r="E12" s="3">
        <f t="shared" si="2"/>
        <v>3.1200408139573903</v>
      </c>
      <c r="F12" s="3">
        <f>ABS(COS(B12))</f>
        <v>0.7539022543433046</v>
      </c>
      <c r="G12" s="3">
        <f>0.5*(B12-1)^2</f>
        <v>18</v>
      </c>
      <c r="I12" s="3">
        <f t="shared" si="3"/>
        <v>3.1200408139573903</v>
      </c>
      <c r="J12" s="3"/>
      <c r="K12" s="3"/>
      <c r="L12" s="3"/>
      <c r="M12" s="3"/>
      <c r="N12" s="3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15:F16"/>
  <sheetViews>
    <sheetView workbookViewId="0">
      <selection activeCell="D15" sqref="D15"/>
    </sheetView>
  </sheetViews>
  <sheetFormatPr defaultRowHeight="14.4" x14ac:dyDescent="0.3"/>
  <sheetData>
    <row r="15" spans="4:6" x14ac:dyDescent="0.3">
      <c r="D15">
        <v>1</v>
      </c>
      <c r="F15">
        <f>2/(1/D15+1/D16)</f>
        <v>1.8181818181818181</v>
      </c>
    </row>
    <row r="16" spans="4:6" x14ac:dyDescent="0.3">
      <c r="D16">
        <v>10</v>
      </c>
      <c r="F16">
        <f>4/(1/D15+4/(D15+D16)+1/D16)</f>
        <v>2.7329192546583849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slava</dc:creator>
  <cp:lastModifiedBy>slava</cp:lastModifiedBy>
  <dcterms:created xsi:type="dcterms:W3CDTF">2020-04-20T22:01:45Z</dcterms:created>
  <dcterms:modified xsi:type="dcterms:W3CDTF">2020-04-22T22:52:33Z</dcterms:modified>
</cp:coreProperties>
</file>